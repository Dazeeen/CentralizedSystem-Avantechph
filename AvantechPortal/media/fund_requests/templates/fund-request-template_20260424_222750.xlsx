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-Up Costs &amp; Funding" sheetId="1" state="visible" r:id="rId1"/>
    <sheet xmlns:r="http://schemas.openxmlformats.org/officeDocument/2006/relationships" name="Sales Planner" sheetId="2" state="visible" r:id="rId2"/>
    <sheet xmlns:r="http://schemas.openxmlformats.org/officeDocument/2006/relationships" name="Payroll" sheetId="3" state="visible" r:id="rId3"/>
    <sheet xmlns:r="http://schemas.openxmlformats.org/officeDocument/2006/relationships" name="Income Statement" sheetId="4" state="visible" r:id="rId4"/>
    <sheet xmlns:r="http://schemas.openxmlformats.org/officeDocument/2006/relationships" name="Cash Flow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Amount (PHP)</t>
        </is>
      </c>
    </row>
    <row r="2">
      <c r="A2" t="inlineStr">
        <is>
          <t>Arduino Board</t>
        </is>
      </c>
      <c r="B2" t="n">
        <v>500</v>
      </c>
    </row>
    <row r="3">
      <c r="A3" t="inlineStr">
        <is>
          <t>Gyroscope Sensor</t>
        </is>
      </c>
      <c r="B3" t="n">
        <v>300</v>
      </c>
    </row>
    <row r="4">
      <c r="A4" t="inlineStr">
        <is>
          <t>Servo Motor</t>
        </is>
      </c>
      <c r="B4" t="n">
        <v>400</v>
      </c>
    </row>
    <row r="5">
      <c r="A5" t="inlineStr">
        <is>
          <t>Spoon + Materials</t>
        </is>
      </c>
      <c r="B5" t="n">
        <v>200</v>
      </c>
    </row>
    <row r="6">
      <c r="A6" t="inlineStr">
        <is>
          <t>Battery &amp; Module</t>
        </is>
      </c>
      <c r="B6" t="n">
        <v>300</v>
      </c>
    </row>
    <row r="7">
      <c r="A7" t="inlineStr">
        <is>
          <t>Tools &amp; Assembly</t>
        </is>
      </c>
      <c r="B7" t="n">
        <v>1000</v>
      </c>
    </row>
    <row r="8">
      <c r="A8" t="inlineStr">
        <is>
          <t>Packaging</t>
        </is>
      </c>
      <c r="B8" t="n">
        <v>500</v>
      </c>
    </row>
    <row r="9">
      <c r="A9" t="inlineStr">
        <is>
          <t>Branding</t>
        </is>
      </c>
      <c r="B9" t="n">
        <v>1000</v>
      </c>
    </row>
    <row r="10">
      <c r="A10" t="inlineStr">
        <is>
          <t>Marketing</t>
        </is>
      </c>
      <c r="B10" t="n">
        <v>2000</v>
      </c>
    </row>
    <row r="11">
      <c r="A11" t="inlineStr">
        <is>
          <t>Total Start-Up Cost</t>
        </is>
      </c>
      <c r="B11">
        <f>SUM(B2:B10)</f>
        <v/>
      </c>
    </row>
    <row r="13">
      <c r="A13" s="1" t="inlineStr">
        <is>
          <t>Funding Source</t>
        </is>
      </c>
      <c r="B13" s="1" t="inlineStr">
        <is>
          <t>Amount</t>
        </is>
      </c>
    </row>
    <row r="14">
      <c r="A14" t="inlineStr">
        <is>
          <t>Owner's Equity</t>
        </is>
      </c>
      <c r="B14">
        <f>B11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Name</t>
        </is>
      </c>
      <c r="B1" s="1" t="inlineStr">
        <is>
          <t>Selling Price</t>
        </is>
      </c>
      <c r="C1" s="1" t="inlineStr">
        <is>
          <t>Cost per Unit</t>
        </is>
      </c>
    </row>
    <row r="2">
      <c r="A2" t="inlineStr">
        <is>
          <t>Anti-Tremor Spoon</t>
        </is>
      </c>
      <c r="B2" t="n">
        <v>2500</v>
      </c>
      <c r="C2" t="n">
        <v>1200</v>
      </c>
    </row>
    <row r="4">
      <c r="A4" s="1" t="inlineStr">
        <is>
          <t>Year</t>
        </is>
      </c>
      <c r="B4" s="1" t="inlineStr">
        <is>
          <t>Units Sold</t>
        </is>
      </c>
      <c r="C4" s="1" t="inlineStr">
        <is>
          <t>Revenue</t>
        </is>
      </c>
    </row>
    <row r="5">
      <c r="A5" t="inlineStr">
        <is>
          <t>Year 1</t>
        </is>
      </c>
      <c r="B5" t="n">
        <v>100</v>
      </c>
      <c r="C5">
        <f>B5*$B$2</f>
        <v/>
      </c>
    </row>
    <row r="6">
      <c r="A6" t="inlineStr">
        <is>
          <t>Year 2</t>
        </is>
      </c>
      <c r="B6" t="n">
        <v>150</v>
      </c>
      <c r="C6">
        <f>B6*$B$2</f>
        <v/>
      </c>
    </row>
    <row r="7">
      <c r="A7" t="inlineStr">
        <is>
          <t>Year 3</t>
        </is>
      </c>
      <c r="B7" t="n">
        <v>220</v>
      </c>
      <c r="C7">
        <f>B7*$B$2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Role</t>
        </is>
      </c>
      <c r="B1" s="1" t="inlineStr">
        <is>
          <t>Monthly Salary</t>
        </is>
      </c>
    </row>
    <row r="2">
      <c r="A2" t="inlineStr">
        <is>
          <t>Owner</t>
        </is>
      </c>
      <c r="B2" t="n">
        <v>5000</v>
      </c>
    </row>
    <row r="3">
      <c r="A3" t="inlineStr">
        <is>
          <t>Technician</t>
        </is>
      </c>
      <c r="B3" t="n">
        <v>4000</v>
      </c>
    </row>
    <row r="5">
      <c r="A5" t="inlineStr">
        <is>
          <t>Total Monthly Payroll</t>
        </is>
      </c>
      <c r="B5">
        <f>SUM(B2:B3)</f>
        <v/>
      </c>
    </row>
    <row r="6">
      <c r="A6" t="inlineStr">
        <is>
          <t>Annual Payroll</t>
        </is>
      </c>
      <c r="B6">
        <f>B5*12</f>
        <v/>
      </c>
    </row>
    <row r="8">
      <c r="A8" s="1" t="inlineStr">
        <is>
          <t>Benefits</t>
        </is>
      </c>
    </row>
    <row r="9">
      <c r="A9" t="inlineStr">
        <is>
          <t>SSS</t>
        </is>
      </c>
      <c r="B9" t="n">
        <v>2000</v>
      </c>
    </row>
    <row r="10">
      <c r="A10" t="inlineStr">
        <is>
          <t>PhilHealth</t>
        </is>
      </c>
      <c r="B10" t="n">
        <v>1000</v>
      </c>
    </row>
    <row r="11">
      <c r="A11" t="inlineStr">
        <is>
          <t>Pag-IBIG</t>
        </is>
      </c>
      <c r="B11" t="n">
        <v>1000</v>
      </c>
    </row>
    <row r="12">
      <c r="A12" t="inlineStr">
        <is>
          <t>Total Benefits</t>
        </is>
      </c>
      <c r="B12">
        <f>SUM(B9:B11)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Year 1 Amount</t>
        </is>
      </c>
    </row>
    <row r="2">
      <c r="A2" t="inlineStr">
        <is>
          <t>Revenue</t>
        </is>
      </c>
      <c r="B2">
        <f> 'Sales Planner'!C5</f>
        <v/>
      </c>
    </row>
    <row r="3">
      <c r="A3" t="inlineStr">
        <is>
          <t>COGS</t>
        </is>
      </c>
      <c r="B3">
        <f> 'Sales Planner'!B5 * 'Sales Planner'!C2</f>
        <v/>
      </c>
    </row>
    <row r="4">
      <c r="A4" t="inlineStr">
        <is>
          <t>Gross Profit</t>
        </is>
      </c>
      <c r="B4">
        <f>B2-B3</f>
        <v/>
      </c>
    </row>
    <row r="6">
      <c r="A6" t="inlineStr">
        <is>
          <t>Electricity</t>
        </is>
      </c>
      <c r="B6" t="n">
        <v>12000</v>
      </c>
    </row>
    <row r="7">
      <c r="A7" t="inlineStr">
        <is>
          <t>Internet</t>
        </is>
      </c>
      <c r="B7" t="n">
        <v>12000</v>
      </c>
    </row>
    <row r="8">
      <c r="A8" t="inlineStr">
        <is>
          <t>Marketing</t>
        </is>
      </c>
      <c r="B8" t="n">
        <v>24000</v>
      </c>
    </row>
    <row r="9">
      <c r="A9" t="inlineStr">
        <is>
          <t>Misc</t>
        </is>
      </c>
      <c r="B9" t="n">
        <v>12000</v>
      </c>
    </row>
    <row r="10">
      <c r="A10" t="inlineStr">
        <is>
          <t>Total Operating Expenses</t>
        </is>
      </c>
      <c r="B10">
        <f>SUM(B6:B9)</f>
        <v/>
      </c>
    </row>
    <row r="11">
      <c r="A11" t="inlineStr">
        <is>
          <t>Payroll</t>
        </is>
      </c>
      <c r="B11">
        <f>Payroll!B6</f>
        <v/>
      </c>
    </row>
    <row r="12">
      <c r="A12" t="inlineStr">
        <is>
          <t>Total Expenses</t>
        </is>
      </c>
      <c r="B12">
        <f>B10+B11</f>
        <v/>
      </c>
    </row>
    <row r="13">
      <c r="A13" t="inlineStr">
        <is>
          <t>Net Income</t>
        </is>
      </c>
      <c r="B13">
        <f>B4-B12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Sales %</t>
        </is>
      </c>
    </row>
    <row r="2">
      <c r="A2" t="inlineStr">
        <is>
          <t>Jan</t>
        </is>
      </c>
      <c r="B2" t="n">
        <v>0.05</v>
      </c>
    </row>
    <row r="3">
      <c r="A3" t="inlineStr">
        <is>
          <t>Feb</t>
        </is>
      </c>
      <c r="B3" t="n">
        <v>0.05</v>
      </c>
    </row>
    <row r="4">
      <c r="A4" t="inlineStr">
        <is>
          <t>Mar</t>
        </is>
      </c>
      <c r="B4" t="n">
        <v>0.05</v>
      </c>
    </row>
    <row r="5">
      <c r="A5" t="inlineStr">
        <is>
          <t>Apr</t>
        </is>
      </c>
      <c r="B5" t="n">
        <v>0.08</v>
      </c>
    </row>
    <row r="6">
      <c r="A6" t="inlineStr">
        <is>
          <t>May</t>
        </is>
      </c>
      <c r="B6" t="n">
        <v>0.08</v>
      </c>
    </row>
    <row r="7">
      <c r="A7" t="inlineStr">
        <is>
          <t>Jun</t>
        </is>
      </c>
      <c r="B7" t="n">
        <v>0.08</v>
      </c>
    </row>
    <row r="8">
      <c r="A8" t="inlineStr">
        <is>
          <t>Jul</t>
        </is>
      </c>
      <c r="B8" t="n">
        <v>0.1</v>
      </c>
    </row>
    <row r="9">
      <c r="A9" t="inlineStr">
        <is>
          <t>Aug</t>
        </is>
      </c>
      <c r="B9" t="n">
        <v>0.1</v>
      </c>
    </row>
    <row r="10">
      <c r="A10" t="inlineStr">
        <is>
          <t>Sep</t>
        </is>
      </c>
      <c r="B10" t="n">
        <v>0.1</v>
      </c>
    </row>
    <row r="11">
      <c r="A11" t="inlineStr">
        <is>
          <t>Oct</t>
        </is>
      </c>
      <c r="B11" t="n">
        <v>0.12</v>
      </c>
    </row>
    <row r="12">
      <c r="A12" t="inlineStr">
        <is>
          <t>Nov</t>
        </is>
      </c>
      <c r="B12" t="n">
        <v>0.12</v>
      </c>
    </row>
    <row r="13">
      <c r="A13" t="inlineStr">
        <is>
          <t>Dec</t>
        </is>
      </c>
      <c r="B13" t="n">
        <v>0.12</v>
      </c>
    </row>
    <row r="14">
      <c r="A14" t="inlineStr">
        <is>
          <t>Total</t>
        </is>
      </c>
      <c r="B14">
        <f>SUM(B2:B13)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2026-04-11T00:46:59Z</dcterms:created>
  <dcterms:modified xmlns:dcterms="http://purl.org/dc/terms/" xmlns:xsi="http://www.w3.org/2001/XMLSchema-instance" xsi:type="dcterms:W3CDTF">2026-04-11T00:46:59Z</dcterms:modified>
</cp:coreProperties>
</file>